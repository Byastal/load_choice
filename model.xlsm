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olatileDependencies.xml" ContentType="application/vnd.openxmlformats-officedocument.spreadsheetml.volatileDependencie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0"/>
  <bookViews>
    <workbookView windowWidth="28800" windowHeight="12090" activeTab="1"/>
  </bookViews>
  <sheets>
    <sheet name="Sheet1" sheetId="4" r:id="rId1"/>
    <sheet name="吃贴水策略" sheetId="3" r:id="rId2"/>
    <sheet name="实时行情" sheetId="2" r:id="rId3"/>
  </sheets>
  <externalReferences>
    <externalReference r:id="rId4"/>
  </externalReferences>
  <calcPr calcId="144525"/>
</workbook>
</file>

<file path=xl/sharedStrings.xml><?xml version="1.0" encoding="utf-8"?>
<sst xmlns="http://schemas.openxmlformats.org/spreadsheetml/2006/main" count="89" uniqueCount="54">
  <si>
    <t>简称</t>
  </si>
  <si>
    <t>IF当月连续</t>
  </si>
  <si>
    <t>IF下月连续</t>
  </si>
  <si>
    <t>IF下季连续</t>
  </si>
  <si>
    <t>IF隔季连续</t>
  </si>
  <si>
    <t>沪深300</t>
  </si>
  <si>
    <t>更新时间</t>
  </si>
  <si>
    <t>今天日期</t>
  </si>
  <si>
    <t>最新价</t>
  </si>
  <si>
    <t>合约月份</t>
  </si>
  <si>
    <t>合约年份</t>
  </si>
  <si>
    <t>未修正的当月交割日</t>
  </si>
  <si>
    <t>当月合约月份</t>
  </si>
  <si>
    <t>修正后的当月交割日</t>
  </si>
  <si>
    <t>交割日</t>
  </si>
  <si>
    <t>距当月交割日天数</t>
  </si>
  <si>
    <t>交割日后要手工调整下月、下季、隔季的年份月份</t>
  </si>
  <si>
    <t>贴水</t>
  </si>
  <si>
    <t>当月</t>
  </si>
  <si>
    <t>下月</t>
  </si>
  <si>
    <t>下季</t>
  </si>
  <si>
    <t>隔季</t>
  </si>
  <si>
    <t>贴水比例</t>
  </si>
  <si>
    <t>距离到期天数</t>
  </si>
  <si>
    <t>年化贴水比例（正为贴水，负为升水）</t>
  </si>
  <si>
    <t>代码</t>
  </si>
  <si>
    <t>IC00C1.CFE</t>
  </si>
  <si>
    <t>IC00C2.CFE</t>
  </si>
  <si>
    <t>IC00C3.CFE</t>
  </si>
  <si>
    <t>IC00C4.CFE</t>
  </si>
  <si>
    <t>000905.SH</t>
  </si>
  <si>
    <t>IH00C1.CFE</t>
  </si>
  <si>
    <t>510500.SH</t>
  </si>
  <si>
    <t>IC当月连续</t>
  </si>
  <si>
    <t>IC下月连续</t>
  </si>
  <si>
    <t>IC下季连续</t>
  </si>
  <si>
    <t>IC隔季连续</t>
  </si>
  <si>
    <t>中证500</t>
  </si>
  <si>
    <t>500ETF</t>
  </si>
  <si>
    <t>数据来源：东方财富Choice数据</t>
  </si>
  <si>
    <t>IF00C1.CFE</t>
  </si>
  <si>
    <t>IF00C2.CFE</t>
  </si>
  <si>
    <t>IF00C3.CFE</t>
  </si>
  <si>
    <t>IF00C4.CFE</t>
  </si>
  <si>
    <t>000300.SH</t>
  </si>
  <si>
    <t>IH00C2.CFE</t>
  </si>
  <si>
    <t>IH00C3.CFE</t>
  </si>
  <si>
    <t>IH00C4.CFE</t>
  </si>
  <si>
    <t>000016.SH</t>
  </si>
  <si>
    <t>IH当月连续</t>
  </si>
  <si>
    <t>IH下月连续</t>
  </si>
  <si>
    <t>IH下季连续</t>
  </si>
  <si>
    <t>IH隔季连续</t>
  </si>
  <si>
    <t>上证50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</si>
</sst>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#,##0.0000"/>
    <numFmt numFmtId="177" formatCode="#,##0.0000_ "/>
    <numFmt numFmtId="178" formatCode="0.000%"/>
  </numFmts>
  <fonts count="26">
    <font>
      <sz val="11"/>
      <color indexed="8"/>
      <name val="等线"/>
      <charset val="134"/>
      <scheme val="minor"/>
    </font>
    <font>
      <sz val="10"/>
      <color indexed="8"/>
      <name val="等线"/>
      <charset val="134"/>
      <scheme val="minor"/>
    </font>
    <font>
      <sz val="9"/>
      <color indexed="8"/>
      <name val="Arial"/>
      <charset val="134"/>
    </font>
    <font>
      <sz val="11"/>
      <color rgb="FF000000"/>
      <name val="等线"/>
      <charset val="134"/>
      <scheme val="minor"/>
    </font>
    <font>
      <b/>
      <sz val="11"/>
      <color indexed="8"/>
      <name val="等线"/>
      <charset val="134"/>
      <scheme val="minor"/>
    </font>
    <font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1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u/>
      <sz val="11"/>
      <color rgb="FF0000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10" fillId="0" borderId="0" applyFont="0" applyFill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2" fillId="26" borderId="8" applyNumberFormat="0" applyAlignment="0" applyProtection="0">
      <alignment vertical="center"/>
    </xf>
    <xf numFmtId="44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0" fillId="29" borderId="10" applyNumberFormat="0" applyFont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8" borderId="3" applyNumberFormat="0" applyAlignment="0" applyProtection="0">
      <alignment vertical="center"/>
    </xf>
    <xf numFmtId="0" fontId="17" fillId="8" borderId="8" applyNumberFormat="0" applyAlignment="0" applyProtection="0">
      <alignment vertical="center"/>
    </xf>
    <xf numFmtId="0" fontId="11" fillId="13" borderId="4" applyNumberFormat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1" fillId="0" borderId="0" xfId="0" applyFont="1">
      <alignment vertical="center"/>
    </xf>
    <xf numFmtId="49" fontId="1" fillId="0" borderId="0" xfId="0" applyNumberFormat="1" applyFont="1" applyAlignment="1">
      <alignment vertical="center"/>
    </xf>
    <xf numFmtId="176" fontId="2" fillId="0" borderId="0" xfId="0" applyNumberFormat="1" applyFont="1" applyFill="1" applyBorder="1">
      <alignment vertical="center"/>
    </xf>
    <xf numFmtId="0" fontId="2" fillId="0" borderId="0" xfId="0" applyNumberFormat="1" applyFont="1" applyFill="1" applyBorder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1" xfId="0" applyBorder="1" applyAlignment="1">
      <alignment vertical="center" wrapText="1"/>
    </xf>
    <xf numFmtId="178" fontId="4" fillId="0" borderId="1" xfId="0" applyNumberFormat="1" applyFont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vertical="center" wrapText="1"/>
    </xf>
    <xf numFmtId="9" fontId="0" fillId="0" borderId="0" xfId="0" applyNumberFormat="1" applyFill="1" applyBorder="1">
      <alignment vertical="center"/>
    </xf>
    <xf numFmtId="9" fontId="0" fillId="0" borderId="0" xfId="11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1" fillId="0" borderId="1" xfId="0" applyFont="1" applyBorder="1">
      <alignment vertical="center"/>
    </xf>
    <xf numFmtId="0" fontId="2" fillId="0" borderId="1" xfId="0" applyNumberFormat="1" applyFont="1" applyFill="1" applyBorder="1">
      <alignment vertical="center"/>
    </xf>
    <xf numFmtId="14" fontId="0" fillId="0" borderId="0" xfId="0" applyNumberFormat="1">
      <alignment vertical="center"/>
    </xf>
    <xf numFmtId="176" fontId="2" fillId="0" borderId="1" xfId="0" applyNumberFormat="1" applyFont="1" applyFill="1" applyBorder="1">
      <alignment vertical="center"/>
    </xf>
    <xf numFmtId="177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2" borderId="0" xfId="0" applyFill="1">
      <alignment vertical="center"/>
    </xf>
    <xf numFmtId="0" fontId="0" fillId="3" borderId="1" xfId="0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em.rtq">
      <tp t="n">
        <v>0</v>
        <stp/>
        <stp>IH00C1.CFE</stp>
        <stp>Time</stp>
        <tr r="B16" s="3"/>
        <tr r="H4" s="3"/>
      </tp>
    </main>
    <main first="em.rtq">
      <tp t="n">
        <v>0</v>
        <stp/>
        <stp>IH00C1.CFE</stp>
        <stp>Now</stp>
        <tr r="B17" s="3"/>
        <tr r="H5" s="3"/>
      </tp>
    </main>
    <main first="em.rtq">
      <tp t="n">
        <v>0</v>
        <stp/>
        <stp>IF00C1.CFE</stp>
        <stp>Time</stp>
        <tr r="B11" s="3"/>
      </tp>
    </main>
    <main first="em.rtq">
      <tp t="n">
        <v>0</v>
        <stp/>
        <stp>IC00C1.CFE</stp>
        <stp>Time</stp>
        <tr r="B4" s="3"/>
      </tp>
    </main>
    <main first="em.rtq">
      <tp t="n">
        <v>0</v>
        <stp/>
        <stp>IF00C1.CFE</stp>
        <stp>Now</stp>
        <tr r="B12" s="3"/>
      </tp>
    </main>
    <main first="em.rtq">
      <tp t="n">
        <v>0</v>
        <stp/>
        <stp>IC00C1.CFE</stp>
        <stp>Now</stp>
        <tr r="B5" s="3"/>
      </tp>
    </main>
    <main first="em.rtq">
      <tp t="n">
        <v>0</v>
        <stp/>
        <stp>000016.SH</stp>
        <stp>Now</stp>
        <tr r="F17" s="3"/>
      </tp>
    </main>
    <main first="em.rtq">
      <tp t="n">
        <v>0</v>
        <stp/>
        <stp>000016.SH</stp>
        <stp>Time</stp>
        <tr r="F16" s="3"/>
      </tp>
    </main>
    <main first="em.rtq">
      <tp t="n">
        <v>0</v>
        <stp/>
        <stp>000300.SH</stp>
        <stp>Time</stp>
        <tr r="F11" s="3"/>
      </tp>
    </main>
    <main first="em.rtq">
      <tp t="n">
        <v>0</v>
        <stp/>
        <stp>000905.SH</stp>
        <stp>Time</stp>
        <tr r="F4" s="3"/>
      </tp>
    </main>
    <main first="em.rtq">
      <tp t="n">
        <v>0</v>
        <stp/>
        <stp>000905.SH</stp>
        <stp>Now</stp>
        <tr r="F5" s="3"/>
      </tp>
    </main>
    <main first="em.rtq">
      <tp t="n">
        <v>0</v>
        <stp/>
        <stp>000300.SH</stp>
        <stp>Now</stp>
        <tr r="F12" s="3"/>
      </tp>
    </main>
    <main first="em.rtq">
      <tp t="n">
        <v>0</v>
        <stp/>
        <stp>IH00C2.CFE</stp>
        <stp>Time</stp>
        <tr r="C16" s="3"/>
      </tp>
    </main>
    <main first="em.rtq">
      <tp t="n">
        <v>0</v>
        <stp/>
        <stp>IH00C2.CFE</stp>
        <stp>Now</stp>
        <tr r="C17" s="3"/>
      </tp>
    </main>
    <main first="em.rtq">
      <tp t="n">
        <v>0</v>
        <stp/>
        <stp>IC00C2.CFE</stp>
        <stp>Time</stp>
        <tr r="C4" s="3"/>
      </tp>
    </main>
    <main first="em.rtq">
      <tp t="n">
        <v>0</v>
        <stp/>
        <stp>IF00C2.CFE</stp>
        <stp>Time</stp>
        <tr r="C11" s="3"/>
      </tp>
    </main>
    <main first="em.rtq">
      <tp t="n">
        <v>0</v>
        <stp/>
        <stp>IC00C2.CFE</stp>
        <stp>Now</stp>
        <tr r="C5" s="3"/>
      </tp>
    </main>
    <main first="em.rtq">
      <tp t="n">
        <v>0</v>
        <stp/>
        <stp>IF00C2.CFE</stp>
        <stp>Now</stp>
        <tr r="C12" s="3"/>
      </tp>
    </main>
    <main first="em.rtq">
      <tp t="n">
        <v>0</v>
        <stp/>
        <stp>IH00C3.CFE</stp>
        <stp>Now</stp>
        <tr r="D17" s="3"/>
      </tp>
    </main>
    <main first="em.rtq">
      <tp t="n">
        <v>0</v>
        <stp/>
        <stp>IH00C3.CFE</stp>
        <stp>Time</stp>
        <tr r="D16" s="3"/>
      </tp>
    </main>
    <main first="em.rtq">
      <tp t="n">
        <v>0</v>
        <stp/>
        <stp>IF00C3.CFE</stp>
        <stp>Time</stp>
        <tr r="D11" s="3"/>
      </tp>
    </main>
    <main first="em.rtq">
      <tp t="n">
        <v>0</v>
        <stp/>
        <stp>IC00C3.CFE</stp>
        <stp>Time</stp>
        <tr r="D4" s="3"/>
      </tp>
    </main>
    <main first="em.rtq">
      <tp t="n">
        <v>0</v>
        <stp/>
        <stp>IF00C3.CFE</stp>
        <stp>Now</stp>
        <tr r="D12" s="3"/>
      </tp>
    </main>
    <main first="em.rtq">
      <tp t="n">
        <v>0</v>
        <stp/>
        <stp>IC00C3.CFE</stp>
        <stp>Now</stp>
        <tr r="D5" s="3"/>
      </tp>
    </main>
    <main first="em.rtq">
      <tp t="n">
        <v>0</v>
        <stp/>
        <stp>510500.SH</stp>
        <stp>Time</stp>
        <tr r="I4" s="3"/>
      </tp>
    </main>
    <main first="em.rtq">
      <tp t="n">
        <v>0</v>
        <stp/>
        <stp>510500.SH</stp>
        <stp>Now</stp>
        <tr r="I5" s="3"/>
      </tp>
    </main>
    <main first="em.rtq">
      <tp t="n">
        <v>0</v>
        <stp/>
        <stp>IH00C4.CFE</stp>
        <stp>Now</stp>
        <tr r="E17" s="3"/>
      </tp>
    </main>
    <main first="em.rtq">
      <tp t="n">
        <v>0</v>
        <stp/>
        <stp>IH00C4.CFE</stp>
        <stp>Time</stp>
        <tr r="E16" s="3"/>
      </tp>
    </main>
    <main first="em.rtq">
      <tp t="n">
        <v>0</v>
        <stp/>
        <stp>IC00C4.CFE</stp>
        <stp>Time</stp>
        <tr r="E4" s="3"/>
      </tp>
    </main>
    <main first="em.rtq">
      <tp t="n">
        <v>0</v>
        <stp/>
        <stp>IF00C4.CFE</stp>
        <stp>Time</stp>
        <tr r="E11" s="3"/>
      </tp>
    </main>
    <main first="em.rtq">
      <tp t="n">
        <v>0</v>
        <stp/>
        <stp>IC00C4.CFE</stp>
        <stp>Now</stp>
        <tr r="E5" s="3"/>
      </tp>
    </main>
    <main first="em.rtq">
      <tp t="n">
        <v>0</v>
        <stp/>
        <stp>IF00C4.CFE</stp>
        <stp>Now</stp>
        <tr r="E12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Eastmoney\Choice\Office\Excel\EMFunc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EM_DATECOUN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"/>
  <sheetViews>
    <sheetView workbookViewId="0">
      <selection activeCell="D14" sqref="D14"/>
    </sheetView>
  </sheetViews>
  <sheetFormatPr defaultColWidth="9" defaultRowHeight="14.25" outlineLevelCol="1"/>
  <cols>
    <col min="11" max="11" width="12.4166666666667" customWidth="1"/>
  </cols>
  <sheetData>
    <row r="1" spans="2:2">
      <c r="B1" s="22"/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S28"/>
  <sheetViews>
    <sheetView tabSelected="1" zoomScale="104" zoomScaleNormal="104" workbookViewId="0">
      <selection activeCell="F26" sqref="F26"/>
    </sheetView>
  </sheetViews>
  <sheetFormatPr defaultColWidth="9" defaultRowHeight="14.25"/>
  <cols>
    <col min="1" max="1" width="12.3333333333333" customWidth="1"/>
    <col min="2" max="4" width="10.0833333333333" customWidth="1"/>
    <col min="5" max="5" width="12.6666666666667" customWidth="1"/>
    <col min="6" max="7" width="12.25" customWidth="1"/>
    <col min="8" max="8" width="12.875" customWidth="1"/>
    <col min="9" max="9" width="9.5" customWidth="1"/>
    <col min="10" max="10" width="13.5" customWidth="1"/>
    <col min="11" max="11" width="12.75" customWidth="1"/>
    <col min="12" max="13" width="10.6666666666667" customWidth="1"/>
    <col min="14" max="14" width="7.08333333333333" customWidth="1"/>
    <col min="15" max="15" width="20.25" customWidth="1"/>
    <col min="16" max="17" width="11.25" customWidth="1"/>
    <col min="18" max="18" width="10.6666666666667" customWidth="1"/>
    <col min="19" max="19" width="12.4166666666667" customWidth="1"/>
  </cols>
  <sheetData>
    <row r="1" spans="1:13">
      <c r="A1" s="6" t="str">
        <f>实时行情!A3</f>
        <v>简称</v>
      </c>
      <c r="B1" s="6" t="str">
        <f>实时行情!B3</f>
        <v>IC当月连续</v>
      </c>
      <c r="C1" s="6" t="str">
        <f>实时行情!C3</f>
        <v>IC下月连续</v>
      </c>
      <c r="D1" s="6" t="str">
        <f>实时行情!D3</f>
        <v>IC下季连续</v>
      </c>
      <c r="E1" s="6" t="str">
        <f>实时行情!E3</f>
        <v>IC隔季连续</v>
      </c>
      <c r="F1" t="str">
        <f>实时行情!F3</f>
        <v>中证500</v>
      </c>
      <c r="H1" s="6" t="s">
        <v>0</v>
      </c>
      <c r="I1" s="20" t="s">
        <v>1</v>
      </c>
      <c r="J1" s="20" t="s">
        <v>2</v>
      </c>
      <c r="K1" s="20" t="s">
        <v>3</v>
      </c>
      <c r="L1" s="20" t="s">
        <v>4</v>
      </c>
      <c r="M1" s="20" t="s">
        <v>5</v>
      </c>
    </row>
    <row r="2" spans="1:16">
      <c r="A2" s="6" t="str">
        <f>实时行情!A4</f>
        <v>更新时间</v>
      </c>
      <c r="B2" s="6">
        <f>实时行情!B4</f>
        <v>0</v>
      </c>
      <c r="C2" s="6">
        <f>实时行情!C4</f>
        <v>0</v>
      </c>
      <c r="D2" s="6">
        <f>实时行情!D4</f>
        <v>0</v>
      </c>
      <c r="E2" s="6">
        <f>实时行情!E4</f>
        <v>0</v>
      </c>
      <c r="F2">
        <f>实时行情!F4</f>
        <v>0</v>
      </c>
      <c r="H2" s="6" t="s">
        <v>6</v>
      </c>
      <c r="I2" s="21">
        <f>实时行情!B11</f>
        <v>0</v>
      </c>
      <c r="J2" s="21">
        <f>实时行情!C11</f>
        <v>0</v>
      </c>
      <c r="K2" s="21">
        <f>实时行情!D11</f>
        <v>0</v>
      </c>
      <c r="L2" s="21">
        <f>实时行情!E11</f>
        <v>0</v>
      </c>
      <c r="M2" s="21">
        <f>实时行情!F11</f>
        <v>0</v>
      </c>
      <c r="O2" t="s">
        <v>7</v>
      </c>
      <c r="P2" s="22">
        <f ca="1">TODAY()</f>
        <v>44308</v>
      </c>
    </row>
    <row r="3" spans="1:16">
      <c r="A3" s="6" t="str">
        <f>实时行情!A5</f>
        <v>最新价</v>
      </c>
      <c r="B3" s="6">
        <f>实时行情!B5</f>
        <v>0</v>
      </c>
      <c r="C3" s="6">
        <f>实时行情!C5</f>
        <v>0</v>
      </c>
      <c r="D3" s="6">
        <f>实时行情!D5</f>
        <v>0</v>
      </c>
      <c r="E3" s="6">
        <f>实时行情!E5</f>
        <v>0</v>
      </c>
      <c r="F3" s="7">
        <f>实时行情!F5</f>
        <v>0</v>
      </c>
      <c r="G3" s="7"/>
      <c r="H3" s="6" t="s">
        <v>8</v>
      </c>
      <c r="I3" s="23">
        <f>实时行情!B12</f>
        <v>0</v>
      </c>
      <c r="J3" s="23">
        <f>实时行情!C12</f>
        <v>0</v>
      </c>
      <c r="K3" s="23">
        <f>实时行情!D12</f>
        <v>0</v>
      </c>
      <c r="L3" s="23">
        <f>实时行情!E12</f>
        <v>0</v>
      </c>
      <c r="M3" s="23">
        <f>实时行情!F12</f>
        <v>0</v>
      </c>
      <c r="N3" s="22"/>
      <c r="O3" t="s">
        <v>9</v>
      </c>
      <c r="P3">
        <f ca="1">MONTH(P2)</f>
        <v>4</v>
      </c>
    </row>
    <row r="4" spans="1:16">
      <c r="A4" s="8" t="s">
        <v>10</v>
      </c>
      <c r="B4" s="6">
        <f ca="1" t="shared" ref="B4:E6" si="0">P8</f>
        <v>2021</v>
      </c>
      <c r="C4" s="6">
        <f t="shared" si="0"/>
        <v>2021</v>
      </c>
      <c r="D4" s="6">
        <f t="shared" si="0"/>
        <v>2021</v>
      </c>
      <c r="E4" s="6">
        <f>S8</f>
        <v>2021</v>
      </c>
      <c r="H4" s="8" t="s">
        <v>10</v>
      </c>
      <c r="I4" s="6">
        <f ca="1">B4</f>
        <v>2021</v>
      </c>
      <c r="J4" s="6">
        <f>C4</f>
        <v>2021</v>
      </c>
      <c r="K4" s="6">
        <f>D4</f>
        <v>2021</v>
      </c>
      <c r="L4" s="6">
        <f>E4</f>
        <v>2021</v>
      </c>
      <c r="M4" s="6"/>
      <c r="O4" t="s">
        <v>11</v>
      </c>
      <c r="P4" s="22">
        <f ca="1">DATE(P8,P3,15)+CHOOSE(WEEKDAY(DATE(P8,P3,1)),5,4,3,2,1,0,6)</f>
        <v>44302</v>
      </c>
    </row>
    <row r="5" spans="1:16">
      <c r="A5" s="8" t="s">
        <v>12</v>
      </c>
      <c r="B5" s="6">
        <f ca="1" t="shared" si="0"/>
        <v>5</v>
      </c>
      <c r="C5" s="6">
        <f t="shared" si="0"/>
        <v>6</v>
      </c>
      <c r="D5" s="6">
        <f t="shared" si="0"/>
        <v>9</v>
      </c>
      <c r="E5" s="6">
        <f t="shared" si="0"/>
        <v>12</v>
      </c>
      <c r="H5" s="8" t="s">
        <v>12</v>
      </c>
      <c r="I5" s="6">
        <f ca="1">B5</f>
        <v>5</v>
      </c>
      <c r="J5" s="6">
        <f t="shared" ref="J5:L6" si="1">C5</f>
        <v>6</v>
      </c>
      <c r="K5" s="6">
        <f t="shared" si="1"/>
        <v>9</v>
      </c>
      <c r="L5" s="6">
        <f t="shared" si="1"/>
        <v>12</v>
      </c>
      <c r="M5" s="6"/>
      <c r="O5" t="s">
        <v>13</v>
      </c>
      <c r="P5" s="22">
        <f ca="1">DATE(P8,P9,15)+CHOOSE(WEEKDAY(DATE(P8,P9,1)),5,4,3,2,1,0,6)</f>
        <v>44337</v>
      </c>
    </row>
    <row r="6" spans="1:19">
      <c r="A6" s="6" t="s">
        <v>14</v>
      </c>
      <c r="B6" s="9">
        <f ca="1" t="shared" si="0"/>
        <v>44337</v>
      </c>
      <c r="C6" s="9">
        <f t="shared" si="0"/>
        <v>44365</v>
      </c>
      <c r="D6" s="9">
        <f t="shared" si="0"/>
        <v>44456</v>
      </c>
      <c r="E6" s="9">
        <f>S10</f>
        <v>44547</v>
      </c>
      <c r="H6" s="6" t="s">
        <v>14</v>
      </c>
      <c r="I6" s="9">
        <f ca="1">B6</f>
        <v>44337</v>
      </c>
      <c r="J6" s="9">
        <f t="shared" si="1"/>
        <v>44365</v>
      </c>
      <c r="K6" s="9">
        <f t="shared" si="1"/>
        <v>44456</v>
      </c>
      <c r="L6" s="9">
        <f t="shared" si="1"/>
        <v>44547</v>
      </c>
      <c r="M6" s="6"/>
      <c r="O6" t="s">
        <v>15</v>
      </c>
      <c r="P6" t="e">
        <f ca="1">[1]!EM_DATECOUNT(P2,P4,"CNSESH")</f>
        <v>#NAME?</v>
      </c>
      <c r="Q6" s="26" t="s">
        <v>16</v>
      </c>
      <c r="R6" s="26"/>
      <c r="S6" s="26"/>
    </row>
    <row r="7" spans="1:19">
      <c r="A7" s="6" t="s">
        <v>17</v>
      </c>
      <c r="B7" s="6">
        <f>$F3-B3</f>
        <v>0</v>
      </c>
      <c r="C7" s="6">
        <f>$F3-C3</f>
        <v>0</v>
      </c>
      <c r="D7" s="6">
        <f>$F3-D3</f>
        <v>0</v>
      </c>
      <c r="E7" s="6">
        <f>$F3-E3</f>
        <v>0</v>
      </c>
      <c r="H7" s="6" t="s">
        <v>17</v>
      </c>
      <c r="I7" s="24">
        <f>M3-I3</f>
        <v>0</v>
      </c>
      <c r="J7" s="24">
        <f>M3-J3</f>
        <v>0</v>
      </c>
      <c r="K7" s="24">
        <f>M3-K3</f>
        <v>0</v>
      </c>
      <c r="L7" s="24">
        <f>M3-L3</f>
        <v>0</v>
      </c>
      <c r="M7" s="6"/>
      <c r="O7" s="8"/>
      <c r="P7" s="8" t="s">
        <v>18</v>
      </c>
      <c r="Q7" s="8" t="s">
        <v>19</v>
      </c>
      <c r="R7" s="8" t="s">
        <v>20</v>
      </c>
      <c r="S7" s="8" t="s">
        <v>21</v>
      </c>
    </row>
    <row r="8" spans="1:19">
      <c r="A8" s="6" t="s">
        <v>22</v>
      </c>
      <c r="B8" s="10" t="e">
        <f>B7/B3</f>
        <v>#DIV/0!</v>
      </c>
      <c r="C8" s="10" t="e">
        <f>C7/C3</f>
        <v>#DIV/0!</v>
      </c>
      <c r="D8" s="10" t="e">
        <f>D7/D3</f>
        <v>#DIV/0!</v>
      </c>
      <c r="E8" s="10" t="e">
        <f>E7/E3</f>
        <v>#DIV/0!</v>
      </c>
      <c r="H8" s="6" t="s">
        <v>22</v>
      </c>
      <c r="I8" s="24" t="e">
        <f>I7/I3</f>
        <v>#DIV/0!</v>
      </c>
      <c r="J8" s="24" t="e">
        <f t="shared" ref="J8:L8" si="2">J7/J3</f>
        <v>#DIV/0!</v>
      </c>
      <c r="K8" s="24" t="e">
        <f t="shared" si="2"/>
        <v>#DIV/0!</v>
      </c>
      <c r="L8" s="24" t="e">
        <f t="shared" si="2"/>
        <v>#DIV/0!</v>
      </c>
      <c r="M8" s="6"/>
      <c r="O8" s="8" t="s">
        <v>10</v>
      </c>
      <c r="P8" s="8">
        <f ca="1">YEAR(P2)</f>
        <v>2021</v>
      </c>
      <c r="Q8" s="27">
        <v>2021</v>
      </c>
      <c r="R8" s="27">
        <v>2021</v>
      </c>
      <c r="S8" s="27">
        <v>2021</v>
      </c>
    </row>
    <row r="9" spans="1:19">
      <c r="A9" s="11" t="s">
        <v>23</v>
      </c>
      <c r="B9" s="11" t="e">
        <f ca="1">_xlfn.DAYS(P10+1,$P$2)</f>
        <v>#NAME?</v>
      </c>
      <c r="C9" s="11" t="e">
        <f ca="1">_xlfn.DAYS(Q10+1,$P$2)</f>
        <v>#NAME?</v>
      </c>
      <c r="D9" s="11" t="e">
        <f ca="1">_xlfn.DAYS(R10+1,$P$2)</f>
        <v>#NAME?</v>
      </c>
      <c r="E9" s="11" t="e">
        <f ca="1">_xlfn.DAYS(S10+1,$P$2)</f>
        <v>#NAME?</v>
      </c>
      <c r="H9" s="11" t="s">
        <v>23</v>
      </c>
      <c r="I9" s="6" t="e">
        <f ca="1">B9</f>
        <v>#NAME?</v>
      </c>
      <c r="J9" s="6" t="e">
        <f ca="1" t="shared" ref="J9:L9" si="3">C9</f>
        <v>#NAME?</v>
      </c>
      <c r="K9" s="6" t="e">
        <f ca="1" t="shared" si="3"/>
        <v>#NAME?</v>
      </c>
      <c r="L9" s="6" t="e">
        <f ca="1" t="shared" si="3"/>
        <v>#NAME?</v>
      </c>
      <c r="M9" s="6"/>
      <c r="O9" s="8" t="s">
        <v>12</v>
      </c>
      <c r="P9" s="8">
        <f ca="1">IF(P2&gt;P4,P3+1,P3)</f>
        <v>5</v>
      </c>
      <c r="Q9" s="27">
        <v>6</v>
      </c>
      <c r="R9" s="27">
        <v>9</v>
      </c>
      <c r="S9" s="27">
        <v>12</v>
      </c>
    </row>
    <row r="10" ht="71.25" spans="1:19">
      <c r="A10" s="12" t="s">
        <v>24</v>
      </c>
      <c r="B10" s="13" t="e">
        <f ca="1">B8*365/B9</f>
        <v>#DIV/0!</v>
      </c>
      <c r="C10" s="10" t="e">
        <f ca="1">C8*365/C9</f>
        <v>#DIV/0!</v>
      </c>
      <c r="D10" s="10" t="e">
        <f ca="1">D8*365/D9</f>
        <v>#DIV/0!</v>
      </c>
      <c r="E10" s="13" t="e">
        <f ca="1">E8*365/E9</f>
        <v>#DIV/0!</v>
      </c>
      <c r="F10" s="14"/>
      <c r="G10" s="15"/>
      <c r="H10" s="12" t="s">
        <v>24</v>
      </c>
      <c r="I10" s="13" t="e">
        <f ca="1">I8*365/I9</f>
        <v>#DIV/0!</v>
      </c>
      <c r="J10" s="13" t="e">
        <f ca="1" t="shared" ref="J10:L10" si="4">J8*365/J9</f>
        <v>#DIV/0!</v>
      </c>
      <c r="K10" s="13" t="e">
        <f ca="1" t="shared" si="4"/>
        <v>#DIV/0!</v>
      </c>
      <c r="L10" s="13" t="e">
        <f ca="1" t="shared" si="4"/>
        <v>#DIV/0!</v>
      </c>
      <c r="M10" s="6"/>
      <c r="O10" s="8" t="s">
        <v>14</v>
      </c>
      <c r="P10" s="25">
        <f ca="1">DATE(P8,P9,15)+CHOOSE(WEEKDAY(DATE(P8,P9,1)),5,4,3,2,1,0,6)</f>
        <v>44337</v>
      </c>
      <c r="Q10" s="25">
        <f>DATE(Q8,Q9,15)+CHOOSE(WEEKDAY(DATE(Q8,Q9,1)),5,4,3,2,1,0,6)</f>
        <v>44365</v>
      </c>
      <c r="R10" s="25">
        <f>DATE(R8,R9,15)+CHOOSE(WEEKDAY(DATE(R8,R9,1)),5,4,3,2,1,0,6)</f>
        <v>44456</v>
      </c>
      <c r="S10" s="25">
        <f>DATE(S8,S9,15)+CHOOSE(WEEKDAY(DATE(S8,S9,1)),5,4,3,2,1,0,6)</f>
        <v>44547</v>
      </c>
    </row>
    <row r="12" spans="1:8">
      <c r="A12" s="16"/>
      <c r="B12" s="14"/>
      <c r="C12" s="17"/>
      <c r="D12" s="14"/>
      <c r="E12" s="14"/>
      <c r="F12" s="14"/>
      <c r="G12" s="14"/>
      <c r="H12" s="14"/>
    </row>
    <row r="13" spans="1:8">
      <c r="A13" s="6" t="str">
        <f>实时行情!A15</f>
        <v>简称</v>
      </c>
      <c r="B13" s="6" t="str">
        <f>实时行情!B15</f>
        <v>IH当月连续</v>
      </c>
      <c r="C13" s="6" t="str">
        <f>实时行情!C15</f>
        <v>IH下月连续</v>
      </c>
      <c r="D13" s="6" t="str">
        <f>实时行情!D15</f>
        <v>IH下季连续</v>
      </c>
      <c r="E13" s="6" t="str">
        <f>实时行情!E15</f>
        <v>IH隔季连续</v>
      </c>
      <c r="F13" t="str">
        <f>实时行情!F15</f>
        <v>上证50</v>
      </c>
      <c r="H13" s="14"/>
    </row>
    <row r="14" spans="1:8">
      <c r="A14" s="6" t="str">
        <f>实时行情!A16</f>
        <v>更新时间</v>
      </c>
      <c r="B14" s="6">
        <f>实时行情!B16</f>
        <v>0</v>
      </c>
      <c r="C14" s="6">
        <f>实时行情!C16</f>
        <v>0</v>
      </c>
      <c r="D14" s="6">
        <f>实时行情!D16</f>
        <v>0</v>
      </c>
      <c r="E14" s="6">
        <f>实时行情!E16</f>
        <v>0</v>
      </c>
      <c r="F14">
        <f>实时行情!F16</f>
        <v>0</v>
      </c>
      <c r="H14" s="14"/>
    </row>
    <row r="15" spans="1:8">
      <c r="A15" s="6" t="str">
        <f>实时行情!A17</f>
        <v>最新价</v>
      </c>
      <c r="B15" s="6">
        <f>实时行情!B17</f>
        <v>0</v>
      </c>
      <c r="C15" s="6">
        <f>实时行情!C17</f>
        <v>0</v>
      </c>
      <c r="D15" s="6">
        <f>实时行情!D17</f>
        <v>0</v>
      </c>
      <c r="E15" s="6">
        <f>实时行情!E17</f>
        <v>0</v>
      </c>
      <c r="F15">
        <f>实时行情!F17</f>
        <v>0</v>
      </c>
      <c r="H15" s="14"/>
    </row>
    <row r="16" spans="1:8">
      <c r="A16" s="8" t="s">
        <v>10</v>
      </c>
      <c r="B16" s="6">
        <f ca="1">P8</f>
        <v>2021</v>
      </c>
      <c r="C16" s="6">
        <f>Q8</f>
        <v>2021</v>
      </c>
      <c r="D16" s="6">
        <f>R8</f>
        <v>2021</v>
      </c>
      <c r="E16" s="6">
        <f>S8</f>
        <v>2021</v>
      </c>
      <c r="H16" s="14"/>
    </row>
    <row r="17" spans="1:8">
      <c r="A17" s="8" t="s">
        <v>12</v>
      </c>
      <c r="B17" s="6">
        <f ca="1">P9</f>
        <v>5</v>
      </c>
      <c r="C17" s="6">
        <f>Q9</f>
        <v>6</v>
      </c>
      <c r="D17" s="6">
        <f>R9</f>
        <v>9</v>
      </c>
      <c r="E17" s="6">
        <f>S9</f>
        <v>12</v>
      </c>
      <c r="H17" s="14"/>
    </row>
    <row r="18" spans="1:8">
      <c r="A18" s="6" t="s">
        <v>14</v>
      </c>
      <c r="B18" s="9">
        <f ca="1">P10</f>
        <v>44337</v>
      </c>
      <c r="C18" s="9">
        <f>Q10</f>
        <v>44365</v>
      </c>
      <c r="D18" s="9">
        <f>R10</f>
        <v>44456</v>
      </c>
      <c r="E18" s="9">
        <f>S10</f>
        <v>44547</v>
      </c>
      <c r="H18" s="14"/>
    </row>
    <row r="19" spans="1:8">
      <c r="A19" s="6" t="s">
        <v>17</v>
      </c>
      <c r="B19" s="6">
        <f>F15-B15</f>
        <v>0</v>
      </c>
      <c r="C19" s="6">
        <f>F15-C15</f>
        <v>0</v>
      </c>
      <c r="D19" s="6">
        <f>F15-D15</f>
        <v>0</v>
      </c>
      <c r="E19" s="6">
        <f>F15-E15</f>
        <v>0</v>
      </c>
      <c r="H19" s="14"/>
    </row>
    <row r="20" spans="1:8">
      <c r="A20" s="6" t="s">
        <v>22</v>
      </c>
      <c r="B20" s="10" t="e">
        <f>B19/B15</f>
        <v>#DIV/0!</v>
      </c>
      <c r="C20" s="10" t="e">
        <f>C19/C15</f>
        <v>#DIV/0!</v>
      </c>
      <c r="D20" s="10" t="e">
        <f>D19/D15</f>
        <v>#DIV/0!</v>
      </c>
      <c r="E20" s="10" t="e">
        <f>E19/E15</f>
        <v>#DIV/0!</v>
      </c>
      <c r="H20" s="14"/>
    </row>
    <row r="21" spans="1:8">
      <c r="A21" s="11" t="s">
        <v>23</v>
      </c>
      <c r="B21" s="11" t="e">
        <f ca="1">B9</f>
        <v>#NAME?</v>
      </c>
      <c r="C21" s="11" t="e">
        <f ca="1">C9</f>
        <v>#NAME?</v>
      </c>
      <c r="D21" s="11" t="e">
        <f ca="1">D9</f>
        <v>#NAME?</v>
      </c>
      <c r="E21" s="11" t="e">
        <f ca="1">E9</f>
        <v>#NAME?</v>
      </c>
      <c r="H21" s="14"/>
    </row>
    <row r="22" ht="42.75" spans="1:8">
      <c r="A22" s="12" t="s">
        <v>24</v>
      </c>
      <c r="B22" s="13" t="e">
        <f ca="1">B20*365/B21</f>
        <v>#DIV/0!</v>
      </c>
      <c r="C22" s="10" t="e">
        <f ca="1">C20*365/C21</f>
        <v>#DIV/0!</v>
      </c>
      <c r="D22" s="10" t="e">
        <f ca="1">D20*365/D21</f>
        <v>#DIV/0!</v>
      </c>
      <c r="E22" s="13" t="e">
        <f ca="1">E20*365/E21</f>
        <v>#DIV/0!</v>
      </c>
      <c r="F22" s="14"/>
      <c r="G22" s="14"/>
      <c r="H22" s="14"/>
    </row>
    <row r="23" spans="1:8">
      <c r="A23" s="14"/>
      <c r="B23" s="14"/>
      <c r="C23" s="14"/>
      <c r="D23" s="14"/>
      <c r="E23" s="14"/>
      <c r="F23" s="14"/>
      <c r="G23" s="14"/>
      <c r="H23" s="14"/>
    </row>
    <row r="24" spans="1:8">
      <c r="A24" s="14"/>
      <c r="B24" s="14"/>
      <c r="C24" s="14"/>
      <c r="D24" s="17"/>
      <c r="E24" s="18"/>
      <c r="F24" s="18"/>
      <c r="G24" s="18"/>
      <c r="H24" s="14"/>
    </row>
    <row r="25" spans="1:8">
      <c r="A25" s="14"/>
      <c r="B25" s="14"/>
      <c r="C25" s="14"/>
      <c r="D25" s="14"/>
      <c r="E25" s="14"/>
      <c r="F25" s="14"/>
      <c r="G25" s="14"/>
      <c r="H25" s="14"/>
    </row>
    <row r="26" spans="1:8">
      <c r="A26" s="14"/>
      <c r="B26" s="14"/>
      <c r="C26" s="14"/>
      <c r="D26" s="14"/>
      <c r="E26" s="14"/>
      <c r="F26" s="14"/>
      <c r="G26" s="14"/>
      <c r="H26" s="14"/>
    </row>
    <row r="27" ht="23.25" spans="1:8">
      <c r="A27" s="14"/>
      <c r="B27" s="14"/>
      <c r="C27" s="19"/>
      <c r="D27" s="14"/>
      <c r="E27" s="14"/>
      <c r="F27" s="14"/>
      <c r="G27" s="14"/>
      <c r="H27" s="14"/>
    </row>
    <row r="28" spans="1:8">
      <c r="A28" s="14"/>
      <c r="B28" s="14"/>
      <c r="C28" s="14"/>
      <c r="D28" s="14"/>
      <c r="E28" s="14"/>
      <c r="F28" s="14"/>
      <c r="G28" s="14"/>
      <c r="H28" s="14"/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I17"/>
  <sheetViews>
    <sheetView workbookViewId="0">
      <selection activeCell="F17" sqref="F17"/>
    </sheetView>
  </sheetViews>
  <sheetFormatPr defaultColWidth="9" defaultRowHeight="14.25"/>
  <cols>
    <col min="2" max="2" width="9.33333333333333" customWidth="1"/>
    <col min="3" max="3" width="12.0833333333333" customWidth="1"/>
    <col min="4" max="4" width="11.0833333333333" customWidth="1"/>
    <col min="5" max="5" width="12.9166666666667" customWidth="1"/>
    <col min="6" max="6" width="12.75" customWidth="1"/>
  </cols>
  <sheetData>
    <row r="2" spans="1:9">
      <c r="A2" s="1" t="s">
        <v>25</v>
      </c>
      <c r="B2" s="2" t="s">
        <v>26</v>
      </c>
      <c r="C2" s="1" t="s">
        <v>27</v>
      </c>
      <c r="D2" s="1" t="s">
        <v>28</v>
      </c>
      <c r="E2" s="1" t="s">
        <v>29</v>
      </c>
      <c r="F2" s="1" t="s">
        <v>30</v>
      </c>
      <c r="H2" s="1" t="s">
        <v>31</v>
      </c>
      <c r="I2" s="1" t="s">
        <v>32</v>
      </c>
    </row>
    <row r="3" spans="1:9">
      <c r="A3" s="1" t="s">
        <v>0</v>
      </c>
      <c r="B3" s="1" t="s">
        <v>33</v>
      </c>
      <c r="C3" s="1" t="s">
        <v>34</v>
      </c>
      <c r="D3" s="1" t="s">
        <v>35</v>
      </c>
      <c r="E3" s="1" t="s">
        <v>36</v>
      </c>
      <c r="F3" s="1" t="s">
        <v>37</v>
      </c>
      <c r="H3" s="1" t="s">
        <v>33</v>
      </c>
      <c r="I3" s="1" t="s">
        <v>38</v>
      </c>
    </row>
    <row r="4" spans="1:9">
      <c r="A4" s="3" t="s">
        <v>6</v>
      </c>
      <c r="B4" s="4">
        <f>RTD("em.rtq",,B2,"Time")</f>
        <v>0</v>
      </c>
      <c r="C4" s="4">
        <f>RTD("em.rtq",,C2,"Time")</f>
        <v>0</v>
      </c>
      <c r="D4" s="4">
        <f>RTD("em.rtq",,D2,"Time")</f>
        <v>0</v>
      </c>
      <c r="E4" s="4">
        <f>RTD("em.rtq",,E2,"Time")</f>
        <v>0</v>
      </c>
      <c r="F4" s="4">
        <f>RTD("em.rtq",,F2,"Time")</f>
        <v>0</v>
      </c>
      <c r="H4" s="4">
        <f>RTD("em.rtq",,H2,"Time")</f>
        <v>0</v>
      </c>
      <c r="I4" s="4">
        <f>RTD("em.rtq",,I2,"Time")</f>
        <v>0</v>
      </c>
    </row>
    <row r="5" spans="1:9">
      <c r="A5" s="3" t="s">
        <v>8</v>
      </c>
      <c r="B5" s="3">
        <f>RTD("em.rtq",,B2,"Now")</f>
        <v>0</v>
      </c>
      <c r="C5" s="3">
        <f>RTD("em.rtq",,C2,"Now")</f>
        <v>0</v>
      </c>
      <c r="D5" s="3">
        <f>RTD("em.rtq",,D2,"Now")</f>
        <v>0</v>
      </c>
      <c r="E5" s="3">
        <f>RTD("em.rtq",,E2,"Now")</f>
        <v>0</v>
      </c>
      <c r="F5" s="3">
        <f>RTD("em.rtq",,F2,"Now")</f>
        <v>0</v>
      </c>
      <c r="H5" s="3">
        <f>RTD("em.rtq",,H2,"Now")</f>
        <v>0</v>
      </c>
      <c r="I5" s="3">
        <f>RTD("em.rtq",,I2,"Now")</f>
        <v>0</v>
      </c>
    </row>
    <row r="7" spans="1:1">
      <c r="A7" s="5" t="s">
        <v>39</v>
      </c>
    </row>
    <row r="9" spans="1:6">
      <c r="A9" s="1" t="s">
        <v>25</v>
      </c>
      <c r="B9" s="2" t="s">
        <v>40</v>
      </c>
      <c r="C9" s="1" t="s">
        <v>41</v>
      </c>
      <c r="D9" s="1" t="s">
        <v>42</v>
      </c>
      <c r="E9" s="1" t="s">
        <v>43</v>
      </c>
      <c r="F9" s="1" t="s">
        <v>44</v>
      </c>
    </row>
    <row r="10" spans="1:6">
      <c r="A10" s="1" t="s">
        <v>0</v>
      </c>
      <c r="B10" s="1" t="s">
        <v>1</v>
      </c>
      <c r="C10" s="1" t="s">
        <v>2</v>
      </c>
      <c r="D10" s="1" t="s">
        <v>3</v>
      </c>
      <c r="E10" s="1" t="s">
        <v>4</v>
      </c>
      <c r="F10" s="1" t="s">
        <v>5</v>
      </c>
    </row>
    <row r="11" spans="1:6">
      <c r="A11" s="3" t="s">
        <v>6</v>
      </c>
      <c r="B11" s="4">
        <f>RTD("em.rtq",,B9,"Time")</f>
        <v>0</v>
      </c>
      <c r="C11" s="4">
        <f>RTD("em.rtq",,C9,"Time")</f>
        <v>0</v>
      </c>
      <c r="D11" s="4">
        <f>RTD("em.rtq",,D9,"Time")</f>
        <v>0</v>
      </c>
      <c r="E11" s="4">
        <f>RTD("em.rtq",,E9,"Time")</f>
        <v>0</v>
      </c>
      <c r="F11" s="4">
        <f>RTD("em.rtq",,F9,"Time")</f>
        <v>0</v>
      </c>
    </row>
    <row r="12" spans="1:6">
      <c r="A12" s="3" t="s">
        <v>8</v>
      </c>
      <c r="B12" s="3">
        <f>RTD("em.rtq",,B9,"Now")</f>
        <v>0</v>
      </c>
      <c r="C12" s="3">
        <f>RTD("em.rtq",,C9,"Now")</f>
        <v>0</v>
      </c>
      <c r="D12" s="3">
        <f>RTD("em.rtq",,D9,"Now")</f>
        <v>0</v>
      </c>
      <c r="E12" s="3">
        <f>RTD("em.rtq",,E9,"Now")</f>
        <v>0</v>
      </c>
      <c r="F12" s="3">
        <f>RTD("em.rtq",,F9,"Now")</f>
        <v>0</v>
      </c>
    </row>
    <row r="14" spans="1:6">
      <c r="A14" s="1" t="s">
        <v>25</v>
      </c>
      <c r="B14" s="2" t="s">
        <v>31</v>
      </c>
      <c r="C14" s="1" t="s">
        <v>45</v>
      </c>
      <c r="D14" s="1" t="s">
        <v>46</v>
      </c>
      <c r="E14" s="1" t="s">
        <v>47</v>
      </c>
      <c r="F14" s="1" t="s">
        <v>48</v>
      </c>
    </row>
    <row r="15" spans="1:6">
      <c r="A15" s="1" t="s">
        <v>0</v>
      </c>
      <c r="B15" s="1" t="s">
        <v>49</v>
      </c>
      <c r="C15" s="1" t="s">
        <v>50</v>
      </c>
      <c r="D15" s="1" t="s">
        <v>51</v>
      </c>
      <c r="E15" s="1" t="s">
        <v>52</v>
      </c>
      <c r="F15" s="1" t="s">
        <v>53</v>
      </c>
    </row>
    <row r="16" spans="1:6">
      <c r="A16" s="3" t="s">
        <v>6</v>
      </c>
      <c r="B16" s="4">
        <f>RTD("em.rtq",,B14,"Time")</f>
        <v>0</v>
      </c>
      <c r="C16" s="4">
        <f>RTD("em.rtq",,C14,"Time")</f>
        <v>0</v>
      </c>
      <c r="D16" s="4">
        <f>RTD("em.rtq",,D14,"Time")</f>
        <v>0</v>
      </c>
      <c r="E16" s="4">
        <f>RTD("em.rtq",,E14,"Time")</f>
        <v>0</v>
      </c>
      <c r="F16" s="4">
        <f>RTD("em.rtq",,F14,"Time")</f>
        <v>0</v>
      </c>
    </row>
    <row r="17" spans="1:6">
      <c r="A17" s="3" t="s">
        <v>8</v>
      </c>
      <c r="B17" s="3">
        <f>RTD("em.rtq",,B14,"Now")</f>
        <v>0</v>
      </c>
      <c r="C17" s="3">
        <f>RTD("em.rtq",,C14,"Now")</f>
        <v>0</v>
      </c>
      <c r="D17" s="3">
        <f>RTD("em.rtq",,D14,"Now")</f>
        <v>0</v>
      </c>
      <c r="E17" s="3">
        <f>RTD("em.rtq",,E14,"Now")</f>
        <v>0</v>
      </c>
      <c r="F17" s="3">
        <f>RTD("em.rtq",,F14,"Now")</f>
        <v>0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吃贴水策略</vt:lpstr>
      <vt:lpstr>实时行情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Choice资讯</dc:creator>
  <cp:lastModifiedBy>Admin</cp:lastModifiedBy>
  <dcterms:created xsi:type="dcterms:W3CDTF">2019-05-29T22:52:00Z</dcterms:created>
  <dcterms:modified xsi:type="dcterms:W3CDTF">2021-04-22T03:45:18Z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Choice资讯</vt:lpwstr>
  </property>
  <property fmtid="{D5CDD505-2E9C-101B-9397-08002B2CF9AE}" pid="3" name="Generator Version">
    <vt:lpwstr>1.0.0</vt:lpwstr>
  </property>
  <property fmtid="{D5CDD505-2E9C-101B-9397-08002B2CF9AE}" pid="4" name="EM_Doc_Temp_ID">
    <vt:lpwstr>7a6f11df</vt:lpwstr>
  </property>
  <property fmtid="{D5CDD505-2E9C-101B-9397-08002B2CF9AE}" pid="5" name="KSOProductBuildVer">
    <vt:lpwstr>2052-11.1.0.9564</vt:lpwstr>
  </property>
</Properties>
</file>